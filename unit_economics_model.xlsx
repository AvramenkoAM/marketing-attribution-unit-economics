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Unit Economics" sheetId="2" state="visible" r:id="rId2"/>
    <sheet name="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x"/>
    <numFmt numFmtId="166" formatCode="0.0"/>
  </numFmts>
  <fonts count="11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1a202c"/>
      <sz val="11"/>
    </font>
    <font>
      <b val="1"/>
      <color rgb="FFFFFFFF"/>
      <sz val="11"/>
    </font>
    <font>
      <b val="1"/>
      <sz val="10"/>
    </font>
    <font>
      <sz val="10"/>
    </font>
    <font>
      <b val="1"/>
      <color rgb="FF1a202c"/>
    </font>
    <font>
      <i val="1"/>
      <color rgb="FF666666"/>
      <sz val="9"/>
    </font>
    <font>
      <b val="1"/>
    </font>
    <font>
      <b val="1"/>
      <color rgb="FFFFFFFF"/>
      <sz val="10"/>
    </font>
    <font>
      <b val="1"/>
      <color rgb="FF2a9d8f"/>
    </font>
  </fonts>
  <fills count="8">
    <fill>
      <patternFill/>
    </fill>
    <fill>
      <patternFill patternType="gray125"/>
    </fill>
    <fill>
      <patternFill patternType="solid">
        <fgColor rgb="FF264653"/>
      </patternFill>
    </fill>
    <fill>
      <patternFill patternType="solid">
        <fgColor rgb="FFf0f4f8"/>
      </patternFill>
    </fill>
    <fill>
      <patternFill patternType="solid">
        <fgColor rgb="FF2a9d8f"/>
      </patternFill>
    </fill>
    <fill>
      <patternFill patternType="solid">
        <fgColor rgb="FFe76f51"/>
      </patternFill>
    </fill>
    <fill>
      <patternFill patternType="solid">
        <fgColor rgb="FFe9c46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0" pivotButton="0" quotePrefix="0" xfId="0"/>
    <xf numFmtId="3" fontId="0" fillId="3" borderId="1" applyAlignment="1" pivotButton="0" quotePrefix="0" xfId="0">
      <alignment horizontal="right"/>
    </xf>
    <xf numFmtId="0" fontId="7" fillId="0" borderId="0" pivotButton="0" quotePrefix="0" xfId="0"/>
    <xf numFmtId="0" fontId="5" fillId="0" borderId="0" pivotButton="0" quotePrefix="0" xfId="0"/>
    <xf numFmtId="3" fontId="0" fillId="7" borderId="1" applyAlignment="1" pivotButton="0" quotePrefix="0" xfId="0">
      <alignment horizontal="right"/>
    </xf>
    <xf numFmtId="4" fontId="0" fillId="3" borderId="1" applyAlignment="1" pivotButton="0" quotePrefix="0" xfId="0">
      <alignment horizontal="right"/>
    </xf>
    <xf numFmtId="4" fontId="0" fillId="7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164" fontId="0" fillId="7" borderId="1" applyAlignment="1" pivotButton="0" quotePrefix="0" xfId="0">
      <alignment horizontal="right"/>
    </xf>
    <xf numFmtId="165" fontId="0" fillId="7" borderId="1" applyAlignment="1" pivotButton="0" quotePrefix="0" xfId="0">
      <alignment horizontal="right"/>
    </xf>
    <xf numFmtId="166" fontId="0" fillId="3" borderId="1" applyAlignment="1" pivotButton="0" quotePrefix="0" xfId="0">
      <alignment horizontal="right"/>
    </xf>
    <xf numFmtId="3" fontId="8" fillId="3" borderId="1" applyAlignment="1" pivotButton="0" quotePrefix="0" xfId="0">
      <alignment horizontal="right"/>
    </xf>
    <xf numFmtId="4" fontId="8" fillId="3" borderId="1" applyAlignment="1" pivotButton="0" quotePrefix="0" xfId="0">
      <alignment horizontal="right"/>
    </xf>
    <xf numFmtId="165" fontId="0" fillId="3" borderId="1" applyAlignment="1" pivotButton="0" quotePrefix="0" xfId="0">
      <alignment horizontal="right"/>
    </xf>
    <xf numFmtId="165" fontId="8" fillId="3" borderId="1" applyAlignment="1" pivotButton="0" quotePrefix="0" xfId="0">
      <alignment horizontal="right"/>
    </xf>
    <xf numFmtId="166" fontId="0" fillId="7" borderId="1" applyAlignment="1" pivotButton="0" quotePrefix="0" xfId="0">
      <alignment horizontal="right"/>
    </xf>
    <xf numFmtId="166" fontId="8" fillId="3" borderId="1" applyAlignment="1" pivotButton="0" quotePrefix="0" xfId="0">
      <alignment horizontal="right"/>
    </xf>
    <xf numFmtId="164" fontId="8" fillId="3" borderId="1" applyAlignment="1" pivotButton="0" quotePrefix="0" xfId="0">
      <alignment horizontal="right"/>
    </xf>
    <xf numFmtId="0" fontId="9" fillId="2" borderId="0" pivotButton="0" quotePrefix="0" xfId="0"/>
    <xf numFmtId="3" fontId="8" fillId="7" borderId="1" applyAlignment="1" pivotButton="0" quotePrefix="0" xfId="0">
      <alignment horizontal="right"/>
    </xf>
    <xf numFmtId="3" fontId="10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45" customWidth="1" min="7" max="7"/>
  </cols>
  <sheetData>
    <row r="1" ht="36" customHeight="1">
      <c r="A1" s="1" t="inlineStr">
        <is>
          <t>Unit Economics Model — Marketing Channel Inputs</t>
        </is>
      </c>
    </row>
    <row r="2" ht="22" customHeight="1"/>
    <row r="3">
      <c r="A3" s="2" t="inlineStr">
        <is>
          <t>Parameter</t>
        </is>
      </c>
      <c r="B3" s="3" t="inlineStr">
        <is>
          <t>Google Ads</t>
        </is>
      </c>
      <c r="C3" s="4" t="inlineStr">
        <is>
          <t>Facebook Ads</t>
        </is>
      </c>
      <c r="D3" s="5" t="inlineStr">
        <is>
          <t>SEO</t>
        </is>
      </c>
      <c r="E3" s="6" t="inlineStr">
        <is>
          <t>Email</t>
        </is>
      </c>
      <c r="G3" s="7" t="inlineStr">
        <is>
          <t>Notes</t>
        </is>
      </c>
    </row>
    <row r="4">
      <c r="A4" s="8" t="inlineStr">
        <is>
          <t>Monthly Budget ($)</t>
        </is>
      </c>
      <c r="B4" s="9" t="n">
        <v>8000</v>
      </c>
      <c r="C4" s="9" t="n">
        <v>6000</v>
      </c>
      <c r="D4" s="9" t="n">
        <v>2000</v>
      </c>
      <c r="E4" s="9" t="n">
        <v>500</v>
      </c>
      <c r="G4" s="10" t="inlineStr">
        <is>
          <t>Monthly marketing spend allocated to channel</t>
        </is>
      </c>
    </row>
    <row r="5">
      <c r="A5" s="11" t="inlineStr">
        <is>
          <t>New Customers / Month</t>
        </is>
      </c>
      <c r="B5" s="12" t="n">
        <v>137</v>
      </c>
      <c r="C5" s="12" t="n">
        <v>86</v>
      </c>
      <c r="D5" s="12" t="n">
        <v>162</v>
      </c>
      <c r="E5" s="12" t="n">
        <v>53</v>
      </c>
      <c r="G5" s="10" t="inlineStr">
        <is>
          <t>Average monthly customer acquisitions</t>
        </is>
      </c>
    </row>
    <row r="6">
      <c r="A6" s="11" t="inlineStr">
        <is>
          <t>CAC ($)</t>
        </is>
      </c>
      <c r="B6" s="13" t="n">
        <v>78.8</v>
      </c>
      <c r="C6" s="13" t="n">
        <v>88.90000000000001</v>
      </c>
      <c r="D6" s="13" t="n">
        <v>14.9</v>
      </c>
      <c r="E6" s="13" t="n">
        <v>10.7</v>
      </c>
      <c r="G6" s="10" t="inlineStr">
        <is>
          <t>Cost per Acquired Customer = Spend / New Customers</t>
        </is>
      </c>
    </row>
    <row r="7">
      <c r="A7" s="11" t="inlineStr">
        <is>
          <t>Avg Monthly ARPU ($)</t>
        </is>
      </c>
      <c r="B7" s="14" t="n">
        <v>48</v>
      </c>
      <c r="C7" s="14" t="n">
        <v>39</v>
      </c>
      <c r="D7" s="14" t="n">
        <v>55</v>
      </c>
      <c r="E7" s="14" t="n">
        <v>43</v>
      </c>
      <c r="G7" s="10" t="inlineStr">
        <is>
          <t>Average Revenue per User per Month</t>
        </is>
      </c>
    </row>
    <row r="8">
      <c r="A8" s="11" t="inlineStr">
        <is>
          <t>Gross Margin (%)</t>
        </is>
      </c>
      <c r="B8" s="15" t="n">
        <v>0.72</v>
      </c>
      <c r="C8" s="15" t="n">
        <v>0.7</v>
      </c>
      <c r="D8" s="15" t="n">
        <v>0.76</v>
      </c>
      <c r="E8" s="15" t="n">
        <v>0.74</v>
      </c>
      <c r="G8" s="10" t="inlineStr">
        <is>
          <t>Revenue remaining after COGS</t>
        </is>
      </c>
    </row>
    <row r="9">
      <c r="A9" s="11" t="inlineStr">
        <is>
          <t>Monthly Churn Rate (%)</t>
        </is>
      </c>
      <c r="B9" s="16" t="n">
        <v>0.055</v>
      </c>
      <c r="C9" s="16" t="n">
        <v>0.082</v>
      </c>
      <c r="D9" s="16" t="n">
        <v>0.038</v>
      </c>
      <c r="E9" s="16" t="n">
        <v>0.028</v>
      </c>
      <c r="G9" s="10" t="inlineStr">
        <is>
          <t>% of customers lost per month</t>
        </is>
      </c>
    </row>
    <row r="10">
      <c r="A10" s="11" t="inlineStr">
        <is>
          <t>LTV ($)</t>
        </is>
      </c>
      <c r="B10" s="9">
        <f>C5*C6/C7</f>
        <v/>
      </c>
      <c r="C10" s="9">
        <f>D5*D6/D7</f>
        <v/>
      </c>
      <c r="D10" s="9">
        <f>E5*E6/E7</f>
        <v/>
      </c>
      <c r="E10" s="9">
        <f>F5*F6/F7</f>
        <v/>
      </c>
      <c r="G10" s="10" t="inlineStr">
        <is>
          <t>LTV = ARPU × Margin / Monthly Churn</t>
        </is>
      </c>
    </row>
    <row r="11">
      <c r="A11" s="8" t="inlineStr">
        <is>
          <t>LTV / CAC Ratio</t>
        </is>
      </c>
      <c r="B11" s="17">
        <f>C8/C4</f>
        <v/>
      </c>
      <c r="C11" s="17">
        <f>D8/D4</f>
        <v/>
      </c>
      <c r="D11" s="17">
        <f>E8/E4</f>
        <v/>
      </c>
      <c r="E11" s="17">
        <f>F8/F4</f>
        <v/>
      </c>
      <c r="G11" s="10" t="inlineStr">
        <is>
          <t>Healthy: &gt; 3x. Ideal: &gt; 5x</t>
        </is>
      </c>
    </row>
    <row r="12">
      <c r="A12" s="11" t="inlineStr">
        <is>
          <t>Payback Period (months)</t>
        </is>
      </c>
      <c r="B12" s="18">
        <f>C4/(C5*C6)</f>
        <v/>
      </c>
      <c r="C12" s="18">
        <f>D4/(D5*D6)</f>
        <v/>
      </c>
      <c r="D12" s="18">
        <f>E4/(E5*E6)</f>
        <v/>
      </c>
      <c r="E12" s="18">
        <f>F4/(F5*F6)</f>
        <v/>
      </c>
      <c r="G12" s="10" t="inlineStr">
        <is>
          <t>Months to recover CAC</t>
        </is>
      </c>
    </row>
    <row r="13">
      <c r="A13" s="11" t="inlineStr">
        <is>
          <t>12-Month Gross Profit ($)</t>
        </is>
      </c>
      <c r="B13" s="12">
        <f>C5*12*C5*C6*(1-(1-C7)^12)/C7</f>
        <v/>
      </c>
      <c r="C13" s="12">
        <f>D5*12*D5*D6*(1-(1-D7)^12)/D7</f>
        <v/>
      </c>
      <c r="D13" s="12">
        <f>E5*12*E5*E6*(1-(1-E7)^12)/E7</f>
        <v/>
      </c>
      <c r="E13" s="12">
        <f>F5*12*F5*F6*(1-(1-F7)^12)/F7</f>
        <v/>
      </c>
      <c r="G13" s="10" t="inlineStr">
        <is>
          <t>Gross profit per cohort over 12 months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6" customHeight="1">
      <c r="A1" s="1" t="inlineStr">
        <is>
          <t>Unit Economics Summary — All Channels</t>
        </is>
      </c>
    </row>
    <row r="3">
      <c r="A3" s="2" t="inlineStr">
        <is>
          <t>Metric</t>
        </is>
      </c>
      <c r="B3" s="3" t="inlineStr">
        <is>
          <t>Google Ads</t>
        </is>
      </c>
      <c r="C3" s="4" t="inlineStr">
        <is>
          <t>Facebook Ads</t>
        </is>
      </c>
      <c r="D3" s="5" t="inlineStr">
        <is>
          <t>SEO</t>
        </is>
      </c>
      <c r="E3" s="6" t="inlineStr">
        <is>
          <t>Email</t>
        </is>
      </c>
      <c r="F3" s="5" t="inlineStr">
        <is>
          <t>Total / Avg</t>
        </is>
      </c>
    </row>
    <row r="4">
      <c r="A4" s="8" t="inlineStr">
        <is>
          <t>Monthly Budget ($)</t>
        </is>
      </c>
      <c r="B4" s="9">
        <f>Inputs!B4</f>
        <v/>
      </c>
      <c r="C4" s="9">
        <f>Inputs!C4</f>
        <v/>
      </c>
      <c r="D4" s="9">
        <f>Inputs!D4</f>
        <v/>
      </c>
      <c r="E4" s="9">
        <f>Inputs!E4</f>
        <v/>
      </c>
      <c r="F4" s="19">
        <f>SUM(B4:E4)</f>
        <v/>
      </c>
    </row>
    <row r="5">
      <c r="A5" s="8" t="inlineStr">
        <is>
          <t>New Customers / Month</t>
        </is>
      </c>
      <c r="B5" s="12">
        <f>Inputs!B5</f>
        <v/>
      </c>
      <c r="C5" s="12">
        <f>Inputs!C5</f>
        <v/>
      </c>
      <c r="D5" s="12">
        <f>Inputs!D5</f>
        <v/>
      </c>
      <c r="E5" s="12">
        <f>Inputs!E5</f>
        <v/>
      </c>
      <c r="F5" s="19">
        <f>SUM(B5:E5)</f>
        <v/>
      </c>
    </row>
    <row r="6">
      <c r="A6" s="8" t="inlineStr">
        <is>
          <t>CAC ($)</t>
        </is>
      </c>
      <c r="B6" s="13">
        <f>Inputs!B6</f>
        <v/>
      </c>
      <c r="C6" s="13">
        <f>Inputs!C6</f>
        <v/>
      </c>
      <c r="D6" s="13">
        <f>Inputs!D6</f>
        <v/>
      </c>
      <c r="E6" s="13">
        <f>Inputs!E6</f>
        <v/>
      </c>
      <c r="F6" s="20">
        <f>SUMPRODUCT(B4:E4,B6:E6)/SUM(B4:E4)</f>
        <v/>
      </c>
    </row>
    <row r="7">
      <c r="A7" s="8" t="inlineStr">
        <is>
          <t>LTV ($)</t>
        </is>
      </c>
      <c r="B7" s="12">
        <f>Inputs!B8</f>
        <v/>
      </c>
      <c r="C7" s="12">
        <f>Inputs!C8</f>
        <v/>
      </c>
      <c r="D7" s="12">
        <f>Inputs!D8</f>
        <v/>
      </c>
      <c r="E7" s="12">
        <f>Inputs!E8</f>
        <v/>
      </c>
      <c r="F7" s="19">
        <f>SUMPRODUCT(B5:E5,B8:E8)/SUM(B5:E5)</f>
        <v/>
      </c>
    </row>
    <row r="8">
      <c r="A8" s="8" t="inlineStr">
        <is>
          <t>LTV / CAC</t>
        </is>
      </c>
      <c r="B8" s="21">
        <f>Inputs!B9</f>
        <v/>
      </c>
      <c r="C8" s="21">
        <f>Inputs!C9</f>
        <v/>
      </c>
      <c r="D8" s="21">
        <f>Inputs!D9</f>
        <v/>
      </c>
      <c r="E8" s="21">
        <f>Inputs!E9</f>
        <v/>
      </c>
      <c r="F8" s="22">
        <f>F8/F6</f>
        <v/>
      </c>
    </row>
    <row r="9">
      <c r="A9" s="8" t="inlineStr">
        <is>
          <t>Payback Period (months)</t>
        </is>
      </c>
      <c r="B9" s="23">
        <f>Inputs!B10</f>
        <v/>
      </c>
      <c r="C9" s="23">
        <f>Inputs!C10</f>
        <v/>
      </c>
      <c r="D9" s="23">
        <f>Inputs!D10</f>
        <v/>
      </c>
      <c r="E9" s="23">
        <f>Inputs!E10</f>
        <v/>
      </c>
      <c r="F9" s="24">
        <f>SUMPRODUCT(B5:E5,B10:E10)/SUM(B5:E5)</f>
        <v/>
      </c>
    </row>
    <row r="10">
      <c r="A10" s="8" t="inlineStr">
        <is>
          <t>Monthly Gross Profit ($)</t>
        </is>
      </c>
      <c r="B10" s="9">
        <f>B5*Inputs!B5*Inputs!B6</f>
        <v/>
      </c>
      <c r="C10" s="9">
        <f>C5*Inputs!C5*Inputs!C6</f>
        <v/>
      </c>
      <c r="D10" s="9">
        <f>D5*Inputs!D5*Inputs!D6</f>
        <v/>
      </c>
      <c r="E10" s="9">
        <f>E5*Inputs!E5*Inputs!E6</f>
        <v/>
      </c>
      <c r="F10" s="19">
        <f>SUM(B11:E11)</f>
        <v/>
      </c>
    </row>
    <row r="11">
      <c r="A11" s="8" t="inlineStr">
        <is>
          <t>Budget Share (%)</t>
        </is>
      </c>
      <c r="B11" s="16">
        <f>B4/F4</f>
        <v/>
      </c>
      <c r="C11" s="16">
        <f>C4/F4</f>
        <v/>
      </c>
      <c r="D11" s="16">
        <f>D4/F4</f>
        <v/>
      </c>
      <c r="E11" s="16">
        <f>E4/F4</f>
        <v/>
      </c>
      <c r="F11" s="25">
        <f>SUM(B12:E12)</f>
        <v/>
      </c>
    </row>
    <row r="12">
      <c r="A12" s="8" t="inlineStr">
        <is>
          <t>Revenue Share (%)</t>
        </is>
      </c>
      <c r="B12" s="15">
        <f>B5*Inputs!B5/SUM(B5:E5*Inputs!B5:Inputs!E5)</f>
        <v/>
      </c>
      <c r="C12" s="15">
        <f>C5*Inputs!C5/SUM(B5:E5*Inputs!B5:Inputs!E5)</f>
        <v/>
      </c>
      <c r="D12" s="15">
        <f>D5*Inputs!D5/SUM(B5:E5*Inputs!B5:Inputs!E5)</f>
        <v/>
      </c>
      <c r="E12" s="15">
        <f>E5*Inputs!E5/SUM(B5:E5*Inputs!B5:Inputs!E5)</f>
        <v/>
      </c>
      <c r="F12" s="25">
        <f>SUM(B13:E13)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 ht="36" customHeight="1">
      <c r="A1" s="1" t="inlineStr">
        <is>
          <t>Budget Reallocation Scenarios — Total $16 500 / Month</t>
        </is>
      </c>
    </row>
    <row r="3">
      <c r="A3" s="2" t="inlineStr">
        <is>
          <t>Channel / Metric</t>
        </is>
      </c>
      <c r="B3" s="4" t="inlineStr">
        <is>
          <t>Current</t>
        </is>
      </c>
      <c r="C3" s="3" t="inlineStr">
        <is>
          <t>Optimised</t>
        </is>
      </c>
      <c r="D3" s="5" t="inlineStr">
        <is>
          <t>Aggressive SEO</t>
        </is>
      </c>
    </row>
    <row r="4">
      <c r="A4" s="26" t="inlineStr">
        <is>
          <t>BUDGET ALLOCATION</t>
        </is>
      </c>
    </row>
    <row r="5">
      <c r="A5" s="11" t="inlineStr">
        <is>
          <t>Google Ads ($)</t>
        </is>
      </c>
      <c r="B5" s="12" t="n">
        <v>8000</v>
      </c>
      <c r="C5" s="12" t="n">
        <v>7000</v>
      </c>
      <c r="D5" s="12" t="n">
        <v>6000</v>
      </c>
    </row>
    <row r="6">
      <c r="A6" s="11" t="inlineStr">
        <is>
          <t>Facebook Ads ($)</t>
        </is>
      </c>
      <c r="B6" s="9" t="n">
        <v>6000</v>
      </c>
      <c r="C6" s="9" t="n">
        <v>3500</v>
      </c>
      <c r="D6" s="9" t="n">
        <v>2000</v>
      </c>
    </row>
    <row r="7">
      <c r="A7" s="11" t="inlineStr">
        <is>
          <t>SEO ($)</t>
        </is>
      </c>
      <c r="B7" s="12" t="n">
        <v>2000</v>
      </c>
      <c r="C7" s="12" t="n">
        <v>5000</v>
      </c>
      <c r="D7" s="12" t="n">
        <v>7500</v>
      </c>
    </row>
    <row r="8">
      <c r="A8" s="11" t="inlineStr">
        <is>
          <t>Email ($)</t>
        </is>
      </c>
      <c r="B8" s="9" t="n">
        <v>500</v>
      </c>
      <c r="C8" s="9" t="n">
        <v>1000</v>
      </c>
      <c r="D8" s="9" t="n">
        <v>1000</v>
      </c>
    </row>
    <row r="9">
      <c r="A9" s="11" t="inlineStr">
        <is>
          <t>Total ($)</t>
        </is>
      </c>
      <c r="B9" s="27" t="n">
        <v>16500</v>
      </c>
      <c r="C9" s="27" t="n">
        <v>16500</v>
      </c>
      <c r="D9" s="27" t="n">
        <v>16500</v>
      </c>
    </row>
    <row r="11">
      <c r="A11" s="26" t="inlineStr">
        <is>
          <t>PROJECTED OUTCOMES</t>
        </is>
      </c>
    </row>
    <row r="12">
      <c r="A12" s="11" t="inlineStr">
        <is>
          <t>New Customers / Mo</t>
        </is>
      </c>
      <c r="B12" s="9" t="n">
        <v>436</v>
      </c>
      <c r="C12" s="9" t="n">
        <v>490</v>
      </c>
      <c r="D12" s="9" t="n">
        <v>560</v>
      </c>
    </row>
    <row r="13">
      <c r="A13" s="11" t="inlineStr">
        <is>
          <t>Blended CAC ($)</t>
        </is>
      </c>
      <c r="B13" s="14" t="n">
        <v>37.8</v>
      </c>
      <c r="C13" s="14" t="n">
        <v>33.7</v>
      </c>
      <c r="D13" s="14" t="n">
        <v>29.5</v>
      </c>
    </row>
    <row r="14">
      <c r="A14" s="11" t="inlineStr">
        <is>
          <t>Blended LTV ($)</t>
        </is>
      </c>
      <c r="B14" s="9" t="n">
        <v>616</v>
      </c>
      <c r="C14" s="9" t="n">
        <v>720</v>
      </c>
      <c r="D14" s="9" t="n">
        <v>820</v>
      </c>
    </row>
    <row r="15">
      <c r="A15" s="11" t="inlineStr">
        <is>
          <t>LTV/CAC Ratio</t>
        </is>
      </c>
      <c r="B15" s="17" t="n">
        <v>16.3</v>
      </c>
      <c r="C15" s="17" t="n">
        <v>21.4</v>
      </c>
      <c r="D15" s="17" t="n">
        <v>27.8</v>
      </c>
    </row>
    <row r="16">
      <c r="A16" s="11" t="inlineStr">
        <is>
          <t>Monthly Gross Profit ($)</t>
        </is>
      </c>
      <c r="B16" s="9" t="n">
        <v>9700</v>
      </c>
      <c r="C16" s="9" t="n">
        <v>11200</v>
      </c>
      <c r="D16" s="9" t="n">
        <v>13100</v>
      </c>
    </row>
    <row r="17">
      <c r="A17" s="11" t="inlineStr">
        <is>
          <t>12-Month incremental ($)</t>
        </is>
      </c>
      <c r="C17" s="28" t="n">
        <v>18000</v>
      </c>
      <c r="D17" s="28" t="n">
        <v>40800</v>
      </c>
    </row>
  </sheetData>
  <mergeCells count="3">
    <mergeCell ref="A1:D1"/>
    <mergeCell ref="A4:D4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2026-06-06T12:33:48Z</dcterms:created>
  <dcterms:modified xsi:type="dcterms:W3CDTF">2026-06-06T12:33:48Z</dcterms:modified>
</cp:coreProperties>
</file>